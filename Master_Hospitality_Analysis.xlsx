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7a726f86d6eaeb/Desktop/"/>
    </mc:Choice>
  </mc:AlternateContent>
  <xr:revisionPtr revIDLastSave="0" documentId="10_ncr:8_{81F4D049-4ED0-42CA-A4D4-E86631770B47}" xr6:coauthVersionLast="47" xr6:coauthVersionMax="47" xr10:uidLastSave="{00000000-0000-0000-0000-000000000000}"/>
  <bookViews>
    <workbookView xWindow="-108" yWindow="-108" windowWidth="23256" windowHeight="12456" xr2:uid="{C6B35779-E2CB-4558-8737-9154BC7D42C0}"/>
  </bookViews>
  <sheets>
    <sheet name="Sheet1" sheetId="1" r:id="rId1"/>
  </sheets>
  <externalReferences>
    <externalReference r:id="rId2"/>
    <externalReference r:id="rId3"/>
  </externalReferenc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F2" i="1"/>
  <c r="G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</calcChain>
</file>

<file path=xl/sharedStrings.xml><?xml version="1.0" encoding="utf-8"?>
<sst xmlns="http://purl.oclc.org/ooxml/spreadsheetml/main" count="7" uniqueCount="7">
  <si>
    <t>year</t>
  </si>
  <si>
    <t>revenue_index</t>
  </si>
  <si>
    <t>vs_base_pct</t>
  </si>
  <si>
    <t>hospitality_revenue_m</t>
  </si>
  <si>
    <t>revenue_growth_pct</t>
  </si>
  <si>
    <t>hospitality_vacancies</t>
  </si>
  <si>
    <t>vacancy_pressure_index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</si>
</sst>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externalLink" Target="externalLinks/externalLink2.xml"/><Relationship Id="rId7" Type="http://purl.oclc.org/ooxml/officeDocument/relationships/calcChain" Target="calcChain.xml"/><Relationship Id="rId2" Type="http://purl.oclc.org/ooxml/officeDocument/relationships/externalLink" Target="externalLinks/externalLink1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purl.oclc.org/ooxml/officeDocument/relationships/externalLinkPath" Target="file:///C:\Users\benbo\OneDrive\Desktop\Vacancy_Summar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cancy_Summary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purl.oclc.org/ooxml/officeDocument/relationships" r:id="rId1">
    <sheetNames>
      <sheetName val="Vacancy_Summary"/>
    </sheetNames>
    <sheetDataSet>
      <sheetData sheetId="0">
        <row r="1">
          <cell r="A1" t="str">
            <v>Year</v>
          </cell>
          <cell r="B1" t="str">
            <v>Hospo_Vacancies</v>
          </cell>
        </row>
        <row r="2">
          <cell r="A2">
            <v>2008</v>
          </cell>
          <cell r="B2">
            <v>60083.333333333336</v>
          </cell>
        </row>
        <row r="3">
          <cell r="A3">
            <v>2009</v>
          </cell>
          <cell r="B3">
            <v>42083.333333333336</v>
          </cell>
        </row>
        <row r="4">
          <cell r="A4">
            <v>2010</v>
          </cell>
          <cell r="B4">
            <v>45166.666666666664</v>
          </cell>
        </row>
        <row r="5">
          <cell r="A5">
            <v>2011</v>
          </cell>
          <cell r="B5">
            <v>44666.666666666664</v>
          </cell>
        </row>
        <row r="6">
          <cell r="A6">
            <v>2012</v>
          </cell>
          <cell r="B6">
            <v>48833.333333333336</v>
          </cell>
        </row>
        <row r="7">
          <cell r="A7">
            <v>2013</v>
          </cell>
          <cell r="B7">
            <v>55250</v>
          </cell>
        </row>
        <row r="8">
          <cell r="A8">
            <v>2014</v>
          </cell>
          <cell r="B8">
            <v>71416.666666666672</v>
          </cell>
        </row>
        <row r="9">
          <cell r="A9">
            <v>2015</v>
          </cell>
          <cell r="B9">
            <v>81166.666666666672</v>
          </cell>
        </row>
        <row r="10">
          <cell r="A10">
            <v>2016</v>
          </cell>
          <cell r="B10">
            <v>81000</v>
          </cell>
        </row>
        <row r="11">
          <cell r="A11">
            <v>2017</v>
          </cell>
          <cell r="B11">
            <v>91500</v>
          </cell>
        </row>
        <row r="12">
          <cell r="A12">
            <v>2018</v>
          </cell>
          <cell r="B12">
            <v>91583.333333333328</v>
          </cell>
        </row>
        <row r="13">
          <cell r="A13">
            <v>2019</v>
          </cell>
          <cell r="B13">
            <v>92000</v>
          </cell>
        </row>
        <row r="14">
          <cell r="A14">
            <v>2020</v>
          </cell>
          <cell r="B14">
            <v>43750</v>
          </cell>
        </row>
        <row r="15">
          <cell r="A15">
            <v>2021</v>
          </cell>
          <cell r="B15">
            <v>102333.33333333333</v>
          </cell>
        </row>
        <row r="16">
          <cell r="A16">
            <v>2022</v>
          </cell>
          <cell r="B16">
            <v>162000</v>
          </cell>
        </row>
        <row r="17">
          <cell r="A17">
            <v>2023</v>
          </cell>
          <cell r="B17">
            <v>125750</v>
          </cell>
        </row>
        <row r="18">
          <cell r="A18">
            <v>2024</v>
          </cell>
          <cell r="B18">
            <v>97750</v>
          </cell>
        </row>
      </sheetData>
    </sheetDataSet>
  </externalBook>
</externalLink>
</file>

<file path=xl/externalLinks/externalLink2.xml><?xml version="1.0" encoding="utf-8"?>
<externalLink xmlns="http://purl.oclc.org/ooxml/spreadsheetml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purl.oclc.org/ooxml/officeDocument/relationships" r:id="rId1">
    <sheetNames>
      <sheetName val="Vacancy_Summary"/>
    </sheetNames>
    <sheetDataSet>
      <sheetData sheetId="0">
        <row r="1">
          <cell r="A1" t="str">
            <v>Year</v>
          </cell>
          <cell r="B1" t="str">
            <v>Hospo_Vacancies</v>
          </cell>
        </row>
        <row r="2">
          <cell r="A2">
            <v>2008</v>
          </cell>
          <cell r="B2">
            <v>60083.333333333336</v>
          </cell>
        </row>
        <row r="3">
          <cell r="A3">
            <v>2009</v>
          </cell>
          <cell r="B3">
            <v>42083.333333333336</v>
          </cell>
        </row>
        <row r="4">
          <cell r="A4">
            <v>2010</v>
          </cell>
          <cell r="B4">
            <v>45166.666666666664</v>
          </cell>
        </row>
        <row r="5">
          <cell r="A5">
            <v>2011</v>
          </cell>
          <cell r="B5">
            <v>44666.666666666664</v>
          </cell>
        </row>
        <row r="6">
          <cell r="A6">
            <v>2012</v>
          </cell>
          <cell r="B6">
            <v>48833.333333333336</v>
          </cell>
        </row>
        <row r="7">
          <cell r="A7">
            <v>2013</v>
          </cell>
          <cell r="B7">
            <v>55250</v>
          </cell>
        </row>
        <row r="8">
          <cell r="A8">
            <v>2014</v>
          </cell>
          <cell r="B8">
            <v>71416.666666666672</v>
          </cell>
        </row>
        <row r="9">
          <cell r="A9">
            <v>2015</v>
          </cell>
          <cell r="B9">
            <v>81166.666666666672</v>
          </cell>
        </row>
        <row r="10">
          <cell r="A10">
            <v>2016</v>
          </cell>
          <cell r="B10">
            <v>81000</v>
          </cell>
        </row>
        <row r="11">
          <cell r="A11">
            <v>2017</v>
          </cell>
          <cell r="B11">
            <v>91500</v>
          </cell>
        </row>
        <row r="12">
          <cell r="A12">
            <v>2018</v>
          </cell>
          <cell r="B12">
            <v>91583.333333333328</v>
          </cell>
        </row>
        <row r="13">
          <cell r="A13">
            <v>2019</v>
          </cell>
          <cell r="B13">
            <v>92000</v>
          </cell>
        </row>
        <row r="14">
          <cell r="A14">
            <v>2020</v>
          </cell>
          <cell r="B14">
            <v>43750</v>
          </cell>
        </row>
        <row r="15">
          <cell r="A15">
            <v>2021</v>
          </cell>
          <cell r="B15">
            <v>102333.33333333333</v>
          </cell>
        </row>
        <row r="16">
          <cell r="A16">
            <v>2022</v>
          </cell>
          <cell r="B16">
            <v>162000</v>
          </cell>
        </row>
        <row r="17">
          <cell r="A17">
            <v>2023</v>
          </cell>
          <cell r="B17">
            <v>125750</v>
          </cell>
        </row>
        <row r="18">
          <cell r="A18">
            <v>2024</v>
          </cell>
          <cell r="B18">
            <v>97750</v>
          </cell>
        </row>
      </sheetData>
    </sheetDataSet>
  </externalBook>
</externalLink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7C94-3364-41D9-BBFD-5D6BA940B13D}">
  <dimension ref="A1:G18"/>
  <sheetViews>
    <sheetView tabSelected="1" workbookViewId="0">
      <selection activeCell="K10" sqref="K10"/>
    </sheetView>
  </sheetViews>
  <sheetFormatPr defaultRowHeight="14.4" x14ac:dyDescent="0.3"/>
  <cols>
    <col min="1" max="1" width="10.33203125" bestFit="1" customWidth="1"/>
    <col min="2" max="2" width="12.44140625" bestFit="1" customWidth="1"/>
    <col min="3" max="3" width="10.6640625" bestFit="1" customWidth="1"/>
    <col min="4" max="4" width="18.88671875" bestFit="1" customWidth="1"/>
    <col min="5" max="5" width="17.21875" bestFit="1" customWidth="1"/>
    <col min="6" max="6" width="18.21875" bestFit="1" customWidth="1"/>
    <col min="7" max="7" width="20.6640625" bestFit="1" customWidth="1"/>
    <col min="8" max="8" width="8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2008</v>
      </c>
      <c r="B2">
        <v>91.6</v>
      </c>
      <c r="C2">
        <v>-8.4000000000000061E-2</v>
      </c>
      <c r="D2">
        <v>77505.899999999994</v>
      </c>
      <c r="E2">
        <v>0</v>
      </c>
      <c r="F2" s="2">
        <f>IFERROR(_xlfn.XLOOKUP(A2,[1]Vacancy_Summary!A:A,[1]Vacancy_Summary!B:B),"")</f>
        <v>60083.333333333336</v>
      </c>
      <c r="G2" s="1">
        <f>F2 /D2</f>
        <v>0.7752098012323364</v>
      </c>
    </row>
    <row r="3" spans="1:7" x14ac:dyDescent="0.3">
      <c r="A3">
        <v>2009</v>
      </c>
      <c r="B3">
        <v>84.7</v>
      </c>
      <c r="C3">
        <v>-0.15299999999999997</v>
      </c>
      <c r="D3">
        <v>70008.100000000006</v>
      </c>
      <c r="E3">
        <v>-9.6699999999999994E-2</v>
      </c>
      <c r="F3" s="2">
        <f>IFERROR(_xlfn.XLOOKUP(A3,[2]Vacancy_Summary!A:A,[2]Vacancy_Summary!B:B),"")</f>
        <v>42083.333333333336</v>
      </c>
      <c r="G3" s="1">
        <f t="shared" ref="G3:G18" si="0">F3 /D3</f>
        <v>0.60112091791283195</v>
      </c>
    </row>
    <row r="4" spans="1:7" x14ac:dyDescent="0.3">
      <c r="A4">
        <v>2010</v>
      </c>
      <c r="B4">
        <v>87.9</v>
      </c>
      <c r="C4">
        <v>-0.12099999999999994</v>
      </c>
      <c r="D4">
        <v>69802.600000000006</v>
      </c>
      <c r="E4">
        <v>-2.8999999999999998E-3</v>
      </c>
      <c r="F4" s="2">
        <f>IFERROR(_xlfn.XLOOKUP(A4,[2]Vacancy_Summary!A:A,[2]Vacancy_Summary!B:B),"")</f>
        <v>45166.666666666664</v>
      </c>
      <c r="G4" s="1">
        <f t="shared" si="0"/>
        <v>0.64706281236897567</v>
      </c>
    </row>
    <row r="5" spans="1:7" x14ac:dyDescent="0.3">
      <c r="A5">
        <v>2011</v>
      </c>
      <c r="B5">
        <v>92.6</v>
      </c>
      <c r="C5">
        <v>-7.4000000000000052E-2</v>
      </c>
      <c r="D5">
        <v>72947.5</v>
      </c>
      <c r="E5">
        <v>4.5100000000000001E-2</v>
      </c>
      <c r="F5" s="2">
        <f>IFERROR(_xlfn.XLOOKUP(A5,[2]Vacancy_Summary!A:A,[2]Vacancy_Summary!B:B),"")</f>
        <v>44666.666666666664</v>
      </c>
      <c r="G5" s="1">
        <f t="shared" si="0"/>
        <v>0.61231250785382174</v>
      </c>
    </row>
    <row r="6" spans="1:7" x14ac:dyDescent="0.3">
      <c r="A6">
        <v>2012</v>
      </c>
      <c r="B6">
        <v>92.7</v>
      </c>
      <c r="C6">
        <v>-7.2999999999999968E-2</v>
      </c>
      <c r="D6">
        <v>74960.100000000006</v>
      </c>
      <c r="E6">
        <v>2.76E-2</v>
      </c>
      <c r="F6" s="2">
        <f>IFERROR(_xlfn.XLOOKUP(A6,[2]Vacancy_Summary!A:A,[2]Vacancy_Summary!B:B),"")</f>
        <v>48833.333333333336</v>
      </c>
      <c r="G6" s="1">
        <f t="shared" si="0"/>
        <v>0.6514576866003825</v>
      </c>
    </row>
    <row r="7" spans="1:7" x14ac:dyDescent="0.3">
      <c r="A7">
        <v>2013</v>
      </c>
      <c r="B7">
        <v>99.2</v>
      </c>
      <c r="C7">
        <v>-7.9999999999999724E-3</v>
      </c>
      <c r="D7">
        <v>75504.899999999994</v>
      </c>
      <c r="E7">
        <v>7.3000000000000001E-3</v>
      </c>
      <c r="F7" s="2">
        <f>IFERROR(_xlfn.XLOOKUP(A7,[2]Vacancy_Summary!A:A,[2]Vacancy_Summary!B:B),"")</f>
        <v>55250</v>
      </c>
      <c r="G7" s="1">
        <f t="shared" si="0"/>
        <v>0.73174058902137484</v>
      </c>
    </row>
    <row r="8" spans="1:7" x14ac:dyDescent="0.3">
      <c r="A8">
        <v>2014</v>
      </c>
      <c r="B8">
        <v>95.3</v>
      </c>
      <c r="C8">
        <v>-4.7000000000000028E-2</v>
      </c>
      <c r="D8">
        <v>80266.100000000006</v>
      </c>
      <c r="E8">
        <v>6.3100000000000003E-2</v>
      </c>
      <c r="F8" s="2">
        <f>IFERROR(_xlfn.XLOOKUP(A8,[2]Vacancy_Summary!A:A,[2]Vacancy_Summary!B:B),"")</f>
        <v>71416.666666666672</v>
      </c>
      <c r="G8" s="1">
        <f t="shared" si="0"/>
        <v>0.88974880636615794</v>
      </c>
    </row>
    <row r="9" spans="1:7" x14ac:dyDescent="0.3">
      <c r="A9">
        <v>2015</v>
      </c>
      <c r="B9">
        <v>93.3</v>
      </c>
      <c r="C9">
        <v>-6.7000000000000032E-2</v>
      </c>
      <c r="D9">
        <v>85343.6</v>
      </c>
      <c r="E9">
        <v>6.3299999999999995E-2</v>
      </c>
      <c r="F9" s="2">
        <f>IFERROR(_xlfn.XLOOKUP(A9,[2]Vacancy_Summary!A:A,[2]Vacancy_Summary!B:B),"")</f>
        <v>81166.666666666672</v>
      </c>
      <c r="G9" s="1">
        <f t="shared" si="0"/>
        <v>0.95105745090043858</v>
      </c>
    </row>
    <row r="10" spans="1:7" x14ac:dyDescent="0.3">
      <c r="A10">
        <v>2016</v>
      </c>
      <c r="B10">
        <v>99.5</v>
      </c>
      <c r="C10">
        <v>-5.0000000000000001E-3</v>
      </c>
      <c r="D10">
        <v>93100.5</v>
      </c>
      <c r="E10">
        <v>9.0899999999999995E-2</v>
      </c>
      <c r="F10" s="2">
        <f>IFERROR(_xlfn.XLOOKUP(A10,[2]Vacancy_Summary!A:A,[2]Vacancy_Summary!B:B),"")</f>
        <v>81000</v>
      </c>
      <c r="G10" s="1">
        <f t="shared" si="0"/>
        <v>0.87002755087244432</v>
      </c>
    </row>
    <row r="11" spans="1:7" x14ac:dyDescent="0.3">
      <c r="A11">
        <v>2017</v>
      </c>
      <c r="B11">
        <v>105.5</v>
      </c>
      <c r="C11">
        <v>5.5E-2</v>
      </c>
      <c r="D11">
        <v>98350.2</v>
      </c>
      <c r="E11">
        <v>5.6399999999999999E-2</v>
      </c>
      <c r="F11" s="2">
        <f>IFERROR(_xlfn.XLOOKUP(A11,[2]Vacancy_Summary!A:A,[2]Vacancy_Summary!B:B),"")</f>
        <v>91500</v>
      </c>
      <c r="G11" s="1">
        <f t="shared" si="0"/>
        <v>0.93034889608765414</v>
      </c>
    </row>
    <row r="12" spans="1:7" x14ac:dyDescent="0.3">
      <c r="A12">
        <v>2018</v>
      </c>
      <c r="B12">
        <v>103.9</v>
      </c>
      <c r="C12">
        <v>3.9000000000000055E-2</v>
      </c>
      <c r="D12">
        <v>99169.5</v>
      </c>
      <c r="E12">
        <v>8.3000000000000001E-3</v>
      </c>
      <c r="F12" s="2">
        <f>IFERROR(_xlfn.XLOOKUP(A12,[2]Vacancy_Summary!A:A,[2]Vacancy_Summary!B:B),"")</f>
        <v>91583.333333333328</v>
      </c>
      <c r="G12" s="1">
        <f t="shared" si="0"/>
        <v>0.92350302596396405</v>
      </c>
    </row>
    <row r="13" spans="1:7" x14ac:dyDescent="0.3">
      <c r="A13">
        <v>2019</v>
      </c>
      <c r="B13">
        <v>105.6</v>
      </c>
      <c r="C13">
        <v>5.5999999999999946E-2</v>
      </c>
      <c r="D13">
        <v>105744</v>
      </c>
      <c r="E13">
        <v>6.6299999999999998E-2</v>
      </c>
      <c r="F13" s="2">
        <f>IFERROR(_xlfn.XLOOKUP(A13,[2]Vacancy_Summary!A:A,[2]Vacancy_Summary!B:B),"")</f>
        <v>92000</v>
      </c>
      <c r="G13" s="1">
        <f t="shared" si="0"/>
        <v>0.87002572249962173</v>
      </c>
    </row>
    <row r="14" spans="1:7" x14ac:dyDescent="0.3">
      <c r="A14">
        <v>2020</v>
      </c>
      <c r="B14">
        <v>65.2</v>
      </c>
      <c r="C14">
        <v>-0.34799999999999998</v>
      </c>
      <c r="D14">
        <v>57587.3</v>
      </c>
      <c r="E14">
        <v>-0.45540000000000003</v>
      </c>
      <c r="F14" s="2">
        <f>IFERROR(_xlfn.XLOOKUP(A14,[2]Vacancy_Summary!A:A,[2]Vacancy_Summary!B:B),"")</f>
        <v>43750</v>
      </c>
      <c r="G14" s="1">
        <f t="shared" si="0"/>
        <v>0.75971611796350924</v>
      </c>
    </row>
    <row r="15" spans="1:7" x14ac:dyDescent="0.3">
      <c r="A15">
        <v>2021</v>
      </c>
      <c r="B15">
        <v>84.5</v>
      </c>
      <c r="C15">
        <v>-0.155</v>
      </c>
      <c r="D15">
        <v>83046.3</v>
      </c>
      <c r="E15">
        <v>0.44209999999999999</v>
      </c>
      <c r="F15" s="2">
        <f>IFERROR(_xlfn.XLOOKUP(A15,[2]Vacancy_Summary!A:A,[2]Vacancy_Summary!B:B),"")</f>
        <v>102333.33333333333</v>
      </c>
      <c r="G15" s="1">
        <f t="shared" si="0"/>
        <v>1.2322443424130072</v>
      </c>
    </row>
    <row r="16" spans="1:7" x14ac:dyDescent="0.3">
      <c r="A16">
        <v>2022</v>
      </c>
      <c r="B16">
        <v>103</v>
      </c>
      <c r="C16">
        <v>0.03</v>
      </c>
      <c r="D16">
        <v>123959</v>
      </c>
      <c r="E16">
        <v>0.49259999999999998</v>
      </c>
      <c r="F16" s="2">
        <f>IFERROR(_xlfn.XLOOKUP(A16,[2]Vacancy_Summary!A:A,[2]Vacancy_Summary!B:B),"")</f>
        <v>162000</v>
      </c>
      <c r="G16" s="1">
        <f t="shared" si="0"/>
        <v>1.3068837276841536</v>
      </c>
    </row>
    <row r="17" spans="1:7" x14ac:dyDescent="0.3">
      <c r="A17">
        <v>2023</v>
      </c>
      <c r="B17">
        <v>100</v>
      </c>
      <c r="C17">
        <v>0</v>
      </c>
      <c r="D17">
        <v>135282.29999999999</v>
      </c>
      <c r="E17">
        <v>9.1300000000000006E-2</v>
      </c>
      <c r="F17" s="2">
        <f>IFERROR(_xlfn.XLOOKUP(A17,[2]Vacancy_Summary!A:A,[2]Vacancy_Summary!B:B),"")</f>
        <v>125750</v>
      </c>
      <c r="G17" s="1">
        <f t="shared" si="0"/>
        <v>0.92953771483778747</v>
      </c>
    </row>
    <row r="18" spans="1:7" x14ac:dyDescent="0.3">
      <c r="A18">
        <v>2024</v>
      </c>
      <c r="B18">
        <v>99.9</v>
      </c>
      <c r="C18">
        <v>-9.9999999999994321E-4</v>
      </c>
      <c r="D18">
        <v>138673.4</v>
      </c>
      <c r="E18">
        <v>2.5100000000000001E-2</v>
      </c>
      <c r="F18" s="2">
        <f>IFERROR(_xlfn.XLOOKUP(A18,[2]Vacancy_Summary!A:A,[2]Vacancy_Summary!B:B),"")</f>
        <v>97750</v>
      </c>
      <c r="G18" s="1">
        <f t="shared" si="0"/>
        <v>0.70489365660609749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Bence Bodnar</dc:creator>
  <cp:lastModifiedBy>Bence Bodnar</cp:lastModifiedBy>
  <dcterms:created xsi:type="dcterms:W3CDTF">2026-03-23T14:54:56Z</dcterms:created>
  <dcterms:modified xsi:type="dcterms:W3CDTF">2026-03-24T14:45:46Z</dcterms:modified>
</cp:coreProperties>
</file>